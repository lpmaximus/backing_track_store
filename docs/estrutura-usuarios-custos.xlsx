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ev\Backingtrack\docs\"/>
    </mc:Choice>
  </mc:AlternateContent>
  <xr:revisionPtr revIDLastSave="0" documentId="13_ncr:1_{F1BBB4CE-A7E3-4367-863E-67150FA999AF}" xr6:coauthVersionLast="47" xr6:coauthVersionMax="47" xr10:uidLastSave="{00000000-0000-0000-0000-000000000000}"/>
  <bookViews>
    <workbookView xWindow="13755" yWindow="45" windowWidth="21540" windowHeight="15300" tabRatio="500" activeTab="2" xr2:uid="{00000000-000D-0000-FFFF-FFFF00000000}"/>
  </bookViews>
  <sheets>
    <sheet name="Premissas" sheetId="1" r:id="rId1"/>
    <sheet name="CustosFixos" sheetId="2" r:id="rId2"/>
    <sheet name="Projecao" sheetId="3" r:id="rId3"/>
    <sheet name="UnitEconomics" sheetId="4" r:id="rId4"/>
    <sheet name="PontoEquilibrio" sheetId="5" r:id="rId5"/>
    <sheet name="Comparativo_Moise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" i="3" l="1"/>
  <c r="G4" i="3" s="1"/>
  <c r="H4" i="3" s="1"/>
  <c r="E7" i="3"/>
  <c r="E5" i="3"/>
  <c r="G5" i="3" s="1"/>
  <c r="H5" i="3" s="1"/>
  <c r="B7" i="3"/>
  <c r="C17" i="6"/>
  <c r="B17" i="6"/>
  <c r="C16" i="6"/>
  <c r="B16" i="6"/>
  <c r="C15" i="6"/>
  <c r="B15" i="6"/>
  <c r="C14" i="6"/>
  <c r="B14" i="6"/>
  <c r="C21" i="5"/>
  <c r="C20" i="5"/>
  <c r="C19" i="5"/>
  <c r="C18" i="5"/>
  <c r="C17" i="5"/>
  <c r="C16" i="5"/>
  <c r="B8" i="5"/>
  <c r="B5" i="5"/>
  <c r="D5" i="4"/>
  <c r="C5" i="4"/>
  <c r="B5" i="4"/>
  <c r="D4" i="4"/>
  <c r="C4" i="4"/>
  <c r="B4" i="4"/>
  <c r="J7" i="3"/>
  <c r="F7" i="3"/>
  <c r="C7" i="3"/>
  <c r="I6" i="3"/>
  <c r="F6" i="3"/>
  <c r="E6" i="3"/>
  <c r="G6" i="3" s="1"/>
  <c r="H6" i="3" s="1"/>
  <c r="C6" i="3"/>
  <c r="I5" i="3"/>
  <c r="F5" i="3"/>
  <c r="C5" i="3"/>
  <c r="I4" i="3"/>
  <c r="F4" i="3"/>
  <c r="C4" i="3"/>
  <c r="B7" i="2"/>
  <c r="D7" i="3" l="1"/>
  <c r="B8" i="3"/>
  <c r="I7" i="3"/>
  <c r="I8" i="3" s="1"/>
  <c r="G7" i="3"/>
  <c r="H7" i="3" s="1"/>
  <c r="E5" i="4"/>
  <c r="F5" i="4" s="1"/>
  <c r="G5" i="4" s="1"/>
  <c r="E4" i="4"/>
  <c r="F4" i="4" s="1"/>
  <c r="G4" i="4" s="1"/>
  <c r="J6" i="3"/>
  <c r="D6" i="3"/>
  <c r="J5" i="3"/>
  <c r="D5" i="3"/>
  <c r="J4" i="3"/>
  <c r="D4" i="3"/>
  <c r="H21" i="5"/>
  <c r="H20" i="5"/>
  <c r="H19" i="5"/>
  <c r="B7" i="5"/>
  <c r="H18" i="5"/>
  <c r="H17" i="5"/>
  <c r="H16" i="5"/>
  <c r="B14" i="3"/>
  <c r="K4" i="3" l="1"/>
  <c r="K7" i="3"/>
  <c r="D8" i="3"/>
  <c r="B11" i="3"/>
  <c r="B12" i="3" s="1"/>
  <c r="B13" i="3" s="1"/>
  <c r="B21" i="5"/>
  <c r="F21" i="5" s="1"/>
  <c r="G21" i="5" s="1"/>
  <c r="B20" i="5"/>
  <c r="F20" i="5" s="1"/>
  <c r="G20" i="5" s="1"/>
  <c r="B19" i="5"/>
  <c r="F19" i="5" s="1"/>
  <c r="G19" i="5" s="1"/>
  <c r="B18" i="5"/>
  <c r="F18" i="5" s="1"/>
  <c r="G18" i="5" s="1"/>
  <c r="B16" i="5"/>
  <c r="F16" i="5" s="1"/>
  <c r="G16" i="5" s="1"/>
  <c r="B17" i="5"/>
  <c r="F17" i="5" s="1"/>
  <c r="G17" i="5" s="1"/>
  <c r="G8" i="3"/>
  <c r="K6" i="3"/>
  <c r="K5" i="3"/>
  <c r="J8" i="3"/>
  <c r="K8" i="3" l="1"/>
  <c r="B17" i="3" s="1"/>
  <c r="H8" i="3"/>
  <c r="B15" i="3" s="1"/>
  <c r="B16" i="3"/>
  <c r="D16" i="5"/>
  <c r="D17" i="5"/>
  <c r="D18" i="5"/>
  <c r="D19" i="5"/>
  <c r="D20" i="5"/>
  <c r="D21" i="5"/>
  <c r="B4" i="5" l="1"/>
  <c r="E17" i="5"/>
  <c r="I17" i="5" s="1"/>
  <c r="E18" i="5"/>
  <c r="I18" i="5" s="1"/>
  <c r="E16" i="5"/>
  <c r="I16" i="5" s="1"/>
  <c r="E19" i="5"/>
  <c r="I19" i="5" s="1"/>
  <c r="E20" i="5"/>
  <c r="I20" i="5" s="1"/>
  <c r="B11" i="5"/>
  <c r="E21" i="5"/>
  <c r="I21" i="5" s="1"/>
  <c r="B9" i="5" l="1"/>
  <c r="B10" i="5" s="1"/>
  <c r="B6" i="5"/>
</calcChain>
</file>

<file path=xl/sharedStrings.xml><?xml version="1.0" encoding="utf-8"?>
<sst xmlns="http://schemas.openxmlformats.org/spreadsheetml/2006/main" count="123" uniqueCount="108">
  <si>
    <t>Premissas — editáveis (amarelo)</t>
  </si>
  <si>
    <t>Parâmetro</t>
  </si>
  <si>
    <t>Valor</t>
  </si>
  <si>
    <t>Observação</t>
  </si>
  <si>
    <t>Custo por separação (R$)</t>
  </si>
  <si>
    <t>Demucs self-hosted em GPU serverless. Resíntese subiria p/ R$0,25-0,45.</t>
  </si>
  <si>
    <t>Infra por usuário ativo (R$/mês)</t>
  </si>
  <si>
    <t>Servidor, banda, storage R2. CRESCE com a base de usuários.</t>
  </si>
  <si>
    <t>Taxa Asaas — fixa (R$)</t>
  </si>
  <si>
    <t>Por cobrança recorrente.</t>
  </si>
  <si>
    <t>Taxa Asaas — percentual</t>
  </si>
  <si>
    <t>1,99% sobre o valor.</t>
  </si>
  <si>
    <t>Utilização média da cota</t>
  </si>
  <si>
    <t>Fração da cota que o usuário médio usa/mês.</t>
  </si>
  <si>
    <t>Usuários ativos por pessoa (capacidade)</t>
  </si>
  <si>
    <t>A cada N usuários, +1 pessoa.</t>
  </si>
  <si>
    <t>Custo por pessoa (R$/mês)</t>
  </si>
  <si>
    <t>Pró-labore/salário. Pessoal ESCALA em degraus.</t>
  </si>
  <si>
    <t>Preços (R$/mês)</t>
  </si>
  <si>
    <t>Free</t>
  </si>
  <si>
    <t>Pro</t>
  </si>
  <si>
    <t>ProBand (banda)</t>
  </si>
  <si>
    <t>FreeBand</t>
  </si>
  <si>
    <t>Cota de separação (por mês)</t>
  </si>
  <si>
    <t>ProBand</t>
  </si>
  <si>
    <t>Custos fixos de estrutura (não escalam com usuários)</t>
  </si>
  <si>
    <t>Linha de custo</t>
  </si>
  <si>
    <t>R$/mês</t>
  </si>
  <si>
    <t>Domínio + ferramentas</t>
  </si>
  <si>
    <t>Domínio, e-mail, libs, monitoramento.</t>
  </si>
  <si>
    <t>Marketing / aquisição</t>
  </si>
  <si>
    <t>Ads, criadores, parcerias (defina seu valor).</t>
  </si>
  <si>
    <t>Contábil / jurídico</t>
  </si>
  <si>
    <t>Contador MEI/ME, revisão de termos.</t>
  </si>
  <si>
    <t>Total fixo estrutura</t>
  </si>
  <si>
    <t>Pessoal NÃO entra aqui: é calculado por capacidade (Premissas) e escala com a base — ver Projecao.</t>
  </si>
  <si>
    <t>Projeção mensal — ajuste os usuários ativos (amarelo)</t>
  </si>
  <si>
    <t>Plano</t>
  </si>
  <si>
    <t>Usuários</t>
  </si>
  <si>
    <t>Preço</t>
  </si>
  <si>
    <t>MRR</t>
  </si>
  <si>
    <t>Cota</t>
  </si>
  <si>
    <t>Util</t>
  </si>
  <si>
    <t>Separações</t>
  </si>
  <si>
    <t>Custo sep</t>
  </si>
  <si>
    <t>Infra/usu</t>
  </si>
  <si>
    <t>Taxa pgto</t>
  </si>
  <si>
    <t>Contribuição</t>
  </si>
  <si>
    <t>Total</t>
  </si>
  <si>
    <t>── Custos que escalam com a base ──</t>
  </si>
  <si>
    <t>Usuários totais</t>
  </si>
  <si>
    <t>Pessoas necessárias (ROUNDUP usuários ÷ capacidade)</t>
  </si>
  <si>
    <t>Custo pessoal (R$/mês)</t>
  </si>
  <si>
    <t>Custos fixos estrutura (R$/mês)</t>
  </si>
  <si>
    <t>Custo TOTAL (variáveis + pessoal + fixo, R$/mês)</t>
  </si>
  <si>
    <t>Receita total (MRR, R$/mês)</t>
  </si>
  <si>
    <t>LUCRO mensal (R$)</t>
  </si>
  <si>
    <t>Cenário-base ilustrativo (~1.000 usuários). Pessoal escala em degraus: a cada 'capacidade' usuários, +1 pessoa — por isso o custo sobe com a base.</t>
  </si>
  <si>
    <t>Unit economics — margem de contribuição por assinante (antes de pessoal/fixo)</t>
  </si>
  <si>
    <t>Infra</t>
  </si>
  <si>
    <t>Taxa</t>
  </si>
  <si>
    <t>Margem R$</t>
  </si>
  <si>
    <t>Margem %</t>
  </si>
  <si>
    <t>ProBand (banda + 5)</t>
  </si>
  <si>
    <t>Margem de contribuição = antes de pessoal e fixo de estrutura. Free/FreeBand só geram custo (subsídio).</t>
  </si>
  <si>
    <t>Ponto de equilíbrio e maximização de lucro</t>
  </si>
  <si>
    <t>Contribuição por usuário (base) — R$</t>
  </si>
  <si>
    <t>Custo de pessoal por usuário — R$</t>
  </si>
  <si>
    <t>Margem líquida por usuário — R$</t>
  </si>
  <si>
    <t>Custos fixos de estrutura — R$/mês</t>
  </si>
  <si>
    <t>Custo do 1º colaborador — R$/mês</t>
  </si>
  <si>
    <t>Usuários no equilíbrio (assumindo 1 pessoa)</t>
  </si>
  <si>
    <t>→ Pagantes no equilíbrio (mesma composição)</t>
  </si>
  <si>
    <t>Lucro no cenário-base — R$/mês</t>
  </si>
  <si>
    <t>Escala de crescimento — custo de pessoal sobe em degraus com os usuários</t>
  </si>
  <si>
    <t>Multipl.</t>
  </si>
  <si>
    <t>Pagantes</t>
  </si>
  <si>
    <t>Pessoas</t>
  </si>
  <si>
    <t>Pessoal</t>
  </si>
  <si>
    <t>Fixo</t>
  </si>
  <si>
    <t>Lucro</t>
  </si>
  <si>
    <t>Leitura: a contribuição cresce linear com a base, mas o pessoal sobe em degraus (a cada 'capacidade' usuários, +1 pessoa). Lucro máximo vem de: (1) manter cada degrau de pessoal bem preenchido antes de contratar o próximo, (2) elevar a conversão free-&gt;pago, (3) proteger o preço do plano banda. O custo de separação é pequeno — não é a alavanca.</t>
  </si>
  <si>
    <t>Comparativo com Moises — norte de posicionamento (não é competição direta)</t>
  </si>
  <si>
    <t>Moises</t>
  </si>
  <si>
    <t>backingtrack.store</t>
  </si>
  <si>
    <t>Plano gratuito</t>
  </si>
  <si>
    <t>5 separações/mês; export limitado a 1 min</t>
  </si>
  <si>
    <t>Free: 3 separações/mês; sem limite de export</t>
  </si>
  <si>
    <t>Plano de entrada</t>
  </si>
  <si>
    <t>Premium ~R$16,90/mês (R$9,90 obs. jul/2026)
Separação ILIMITADA</t>
  </si>
  <si>
    <t>Pro R$19,90/mês
20 separações/mês + colaboração</t>
  </si>
  <si>
    <t>Plano superior</t>
  </si>
  <si>
    <t>Pro ~R$29/mês — produção (VST, mix, master)</t>
  </si>
  <si>
    <t>ProBand R$59,90/mês — banda até 6 (líder + 5)</t>
  </si>
  <si>
    <t>Foco do produto</t>
  </si>
  <si>
    <t>Prática/produção individual</t>
  </si>
  <si>
    <t>Colaboração de banda + Modo Performance (palco)</t>
  </si>
  <si>
    <t>Separação de áudio</t>
  </si>
  <si>
    <t>Commodity ilimitada barata (força deles)</t>
  </si>
  <si>
    <t>Cota limitada — não é o nosso eixo de valor</t>
  </si>
  <si>
    <t>Nosso diferencial</t>
  </si>
  <si>
    <t>—</t>
  </si>
  <si>
    <t>Setlist compartilhado, cifra validada pela comunidade, stems por integrante, palco</t>
  </si>
  <si>
    <t>Ponto de equilíbrio: banda vs. cada um pagando Moises</t>
  </si>
  <si>
    <t>Integrantes</t>
  </si>
  <si>
    <t>Custo se cada um pagar Moises</t>
  </si>
  <si>
    <t>Plano ProBand (fixo)</t>
  </si>
  <si>
    <t>Moises Premium R$16,90 (listagem pública jul/2026). A partir de ~4 integrantes o plano banda já sai mais barato que assinaturas individuais.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</si>
</sst>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.00"/>
    <numFmt numFmtId="165" formatCode="0.0%"/>
    <numFmt numFmtId="166" formatCode="0.0\x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i/>
      <sz val="9"/>
      <name val="Arial"/>
      <charset val="1"/>
    </font>
    <font>
      <b/>
      <sz val="11"/>
      <name val="Arial"/>
      <charset val="1"/>
    </font>
    <font>
      <sz val="11"/>
      <color rgb="FF008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FF3B0"/>
        <bgColor rgb="FFF0F4F8"/>
      </patternFill>
    </fill>
    <fill>
      <patternFill patternType="solid">
        <fgColor rgb="FFF0F4F8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5" fillId="0" borderId="0" xfId="0" applyFont="1" applyAlignment="1">
      <alignment vertical="top" wrapText="1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64" fontId="4" fillId="3" borderId="1" xfId="0" applyNumberFormat="1" applyFont="1" applyFill="1" applyBorder="1"/>
    <xf numFmtId="0" fontId="5" fillId="0" borderId="1" xfId="0" applyFont="1" applyBorder="1"/>
    <xf numFmtId="165" fontId="4" fillId="3" borderId="1" xfId="0" applyNumberFormat="1" applyFont="1" applyFill="1" applyBorder="1"/>
    <xf numFmtId="3" fontId="4" fillId="3" borderId="1" xfId="0" applyNumberFormat="1" applyFont="1" applyFill="1" applyBorder="1"/>
    <xf numFmtId="0" fontId="6" fillId="0" borderId="0" xfId="0" applyFont="1"/>
    <xf numFmtId="0" fontId="4" fillId="3" borderId="1" xfId="0" applyFont="1" applyFill="1" applyBorder="1"/>
    <xf numFmtId="0" fontId="6" fillId="4" borderId="1" xfId="0" applyFont="1" applyFill="1" applyBorder="1"/>
    <xf numFmtId="164" fontId="6" fillId="4" borderId="1" xfId="0" applyNumberFormat="1" applyFont="1" applyFill="1" applyBorder="1"/>
    <xf numFmtId="0" fontId="5" fillId="0" borderId="0" xfId="0" applyFont="1"/>
    <xf numFmtId="0" fontId="4" fillId="3" borderId="1" xfId="0" applyFont="1" applyFill="1" applyBorder="1" applyAlignment="1">
      <alignment horizontal="center"/>
    </xf>
    <xf numFmtId="164" fontId="7" fillId="0" borderId="1" xfId="0" applyNumberFormat="1" applyFont="1" applyBorder="1"/>
    <xf numFmtId="164" fontId="0" fillId="0" borderId="1" xfId="0" applyNumberFormat="1" applyBorder="1"/>
    <xf numFmtId="0" fontId="7" fillId="0" borderId="1" xfId="0" applyFont="1" applyBorder="1" applyAlignment="1">
      <alignment horizontal="center"/>
    </xf>
    <xf numFmtId="3" fontId="0" fillId="0" borderId="1" xfId="0" applyNumberFormat="1" applyBorder="1"/>
    <xf numFmtId="0" fontId="0" fillId="4" borderId="1" xfId="0" applyFill="1" applyBorder="1"/>
    <xf numFmtId="0" fontId="3" fillId="0" borderId="0" xfId="0" applyFont="1"/>
    <xf numFmtId="3" fontId="0" fillId="0" borderId="0" xfId="0" applyNumberFormat="1"/>
    <xf numFmtId="3" fontId="7" fillId="0" borderId="0" xfId="0" applyNumberFormat="1" applyFont="1"/>
    <xf numFmtId="164" fontId="7" fillId="0" borderId="0" xfId="0" applyNumberFormat="1" applyFont="1"/>
    <xf numFmtId="164" fontId="0" fillId="0" borderId="0" xfId="0" applyNumberFormat="1"/>
    <xf numFmtId="164" fontId="6" fillId="3" borderId="0" xfId="0" applyNumberFormat="1" applyFont="1" applyFill="1"/>
    <xf numFmtId="165" fontId="0" fillId="0" borderId="1" xfId="0" applyNumberFormat="1" applyBorder="1"/>
    <xf numFmtId="3" fontId="6" fillId="3" borderId="0" xfId="0" applyNumberFormat="1" applyFont="1" applyFill="1"/>
    <xf numFmtId="166" fontId="4" fillId="3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5" fontId="7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0F4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zoomScaleNormal="100" workbookViewId="0">
      <selection activeCell="B23" sqref="B23"/>
    </sheetView>
  </sheetViews>
  <sheetFormatPr defaultColWidth="8.7109375" defaultRowHeight="15" x14ac:dyDescent="0.25"/>
  <cols>
    <col min="1" max="1" width="40" customWidth="1"/>
    <col min="2" max="2" width="14" customWidth="1"/>
    <col min="3" max="3" width="56" customWidth="1"/>
  </cols>
  <sheetData>
    <row r="1" spans="1:3" ht="18" x14ac:dyDescent="0.25">
      <c r="A1" s="2" t="s">
        <v>0</v>
      </c>
    </row>
    <row r="3" spans="1:3" x14ac:dyDescent="0.25">
      <c r="A3" s="3" t="s">
        <v>1</v>
      </c>
      <c r="B3" s="3" t="s">
        <v>2</v>
      </c>
      <c r="C3" s="3" t="s">
        <v>3</v>
      </c>
    </row>
    <row r="4" spans="1:3" x14ac:dyDescent="0.25">
      <c r="A4" s="4" t="s">
        <v>4</v>
      </c>
      <c r="B4" s="5">
        <v>0.15</v>
      </c>
      <c r="C4" s="6" t="s">
        <v>5</v>
      </c>
    </row>
    <row r="5" spans="1:3" x14ac:dyDescent="0.25">
      <c r="A5" s="4" t="s">
        <v>6</v>
      </c>
      <c r="B5" s="5">
        <v>0.08</v>
      </c>
      <c r="C5" s="6" t="s">
        <v>7</v>
      </c>
    </row>
    <row r="6" spans="1:3" x14ac:dyDescent="0.25">
      <c r="A6" s="4" t="s">
        <v>8</v>
      </c>
      <c r="B6" s="5">
        <v>0.49</v>
      </c>
      <c r="C6" s="6" t="s">
        <v>9</v>
      </c>
    </row>
    <row r="7" spans="1:3" x14ac:dyDescent="0.25">
      <c r="A7" s="4" t="s">
        <v>10</v>
      </c>
      <c r="B7" s="7">
        <v>1.9900000000000001E-2</v>
      </c>
      <c r="C7" s="6" t="s">
        <v>11</v>
      </c>
    </row>
    <row r="8" spans="1:3" x14ac:dyDescent="0.25">
      <c r="A8" s="4" t="s">
        <v>12</v>
      </c>
      <c r="B8" s="7">
        <v>0.5</v>
      </c>
      <c r="C8" s="6" t="s">
        <v>13</v>
      </c>
    </row>
    <row r="9" spans="1:3" x14ac:dyDescent="0.25">
      <c r="A9" s="4" t="s">
        <v>14</v>
      </c>
      <c r="B9" s="8">
        <v>2000</v>
      </c>
      <c r="C9" s="6" t="s">
        <v>15</v>
      </c>
    </row>
    <row r="10" spans="1:3" x14ac:dyDescent="0.25">
      <c r="A10" s="4" t="s">
        <v>16</v>
      </c>
      <c r="B10" s="5">
        <v>1000</v>
      </c>
      <c r="C10" s="6" t="s">
        <v>17</v>
      </c>
    </row>
    <row r="12" spans="1:3" x14ac:dyDescent="0.25">
      <c r="A12" s="9" t="s">
        <v>18</v>
      </c>
    </row>
    <row r="13" spans="1:3" x14ac:dyDescent="0.25">
      <c r="A13" s="4" t="s">
        <v>19</v>
      </c>
      <c r="B13" s="5">
        <v>0</v>
      </c>
    </row>
    <row r="14" spans="1:3" x14ac:dyDescent="0.25">
      <c r="A14" s="4" t="s">
        <v>20</v>
      </c>
      <c r="B14" s="5">
        <v>19.899999999999999</v>
      </c>
    </row>
    <row r="15" spans="1:3" x14ac:dyDescent="0.25">
      <c r="A15" s="4" t="s">
        <v>21</v>
      </c>
      <c r="B15" s="5">
        <v>59.9</v>
      </c>
    </row>
    <row r="16" spans="1:3" x14ac:dyDescent="0.25">
      <c r="A16" s="4" t="s">
        <v>22</v>
      </c>
      <c r="B16" s="5">
        <v>0</v>
      </c>
    </row>
    <row r="18" spans="1:2" x14ac:dyDescent="0.25">
      <c r="A18" s="9" t="s">
        <v>23</v>
      </c>
    </row>
    <row r="19" spans="1:2" x14ac:dyDescent="0.25">
      <c r="A19" s="4" t="s">
        <v>19</v>
      </c>
      <c r="B19" s="10">
        <v>3</v>
      </c>
    </row>
    <row r="20" spans="1:2" x14ac:dyDescent="0.25">
      <c r="A20" s="4" t="s">
        <v>20</v>
      </c>
      <c r="B20" s="10">
        <v>20</v>
      </c>
    </row>
    <row r="21" spans="1:2" x14ac:dyDescent="0.25">
      <c r="A21" s="4" t="s">
        <v>24</v>
      </c>
      <c r="B21" s="10">
        <v>40</v>
      </c>
    </row>
    <row r="22" spans="1:2" x14ac:dyDescent="0.25">
      <c r="A22" s="4" t="s">
        <v>22</v>
      </c>
      <c r="B22" s="10"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zoomScaleNormal="100" workbookViewId="0"/>
  </sheetViews>
  <sheetFormatPr defaultColWidth="8.7109375" defaultRowHeight="15" x14ac:dyDescent="0.25"/>
  <cols>
    <col min="1" max="1" width="28" customWidth="1"/>
    <col min="2" max="2" width="14" customWidth="1"/>
    <col min="3" max="3" width="56" customWidth="1"/>
  </cols>
  <sheetData>
    <row r="1" spans="1:3" ht="18" x14ac:dyDescent="0.25">
      <c r="A1" s="2" t="s">
        <v>25</v>
      </c>
    </row>
    <row r="3" spans="1:3" x14ac:dyDescent="0.25">
      <c r="A3" s="3" t="s">
        <v>26</v>
      </c>
      <c r="B3" s="3" t="s">
        <v>27</v>
      </c>
      <c r="C3" s="3" t="s">
        <v>3</v>
      </c>
    </row>
    <row r="4" spans="1:3" x14ac:dyDescent="0.25">
      <c r="A4" s="4" t="s">
        <v>28</v>
      </c>
      <c r="B4" s="5">
        <v>50</v>
      </c>
      <c r="C4" s="6" t="s">
        <v>29</v>
      </c>
    </row>
    <row r="5" spans="1:3" x14ac:dyDescent="0.25">
      <c r="A5" s="4" t="s">
        <v>30</v>
      </c>
      <c r="B5" s="5">
        <v>0</v>
      </c>
      <c r="C5" s="6" t="s">
        <v>31</v>
      </c>
    </row>
    <row r="6" spans="1:3" x14ac:dyDescent="0.25">
      <c r="A6" s="4" t="s">
        <v>32</v>
      </c>
      <c r="B6" s="5">
        <v>0</v>
      </c>
      <c r="C6" s="6" t="s">
        <v>33</v>
      </c>
    </row>
    <row r="7" spans="1:3" x14ac:dyDescent="0.25">
      <c r="A7" s="11" t="s">
        <v>34</v>
      </c>
      <c r="B7" s="12">
        <f>SUM(B4:B6)</f>
        <v>50</v>
      </c>
    </row>
    <row r="9" spans="1:3" x14ac:dyDescent="0.25">
      <c r="A9" s="13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"/>
  <sheetViews>
    <sheetView tabSelected="1" zoomScaleNormal="100" workbookViewId="0">
      <selection activeCell="H22" sqref="H22"/>
    </sheetView>
  </sheetViews>
  <sheetFormatPr defaultColWidth="8.7109375" defaultRowHeight="15" x14ac:dyDescent="0.25"/>
  <cols>
    <col min="1" max="1" width="66.42578125" customWidth="1"/>
    <col min="2" max="2" width="15" customWidth="1"/>
    <col min="3" max="3" width="11" customWidth="1"/>
    <col min="4" max="4" width="13" customWidth="1"/>
    <col min="5" max="5" width="9" style="35" customWidth="1"/>
    <col min="6" max="6" width="10" style="35" customWidth="1"/>
    <col min="7" max="7" width="13" style="35" customWidth="1"/>
    <col min="8" max="9" width="14" customWidth="1"/>
    <col min="10" max="10" width="13" customWidth="1"/>
    <col min="11" max="11" width="14" customWidth="1"/>
  </cols>
  <sheetData>
    <row r="1" spans="1:11" ht="18" x14ac:dyDescent="0.25">
      <c r="A1" s="2" t="s">
        <v>36</v>
      </c>
    </row>
    <row r="3" spans="1:11" x14ac:dyDescent="0.25">
      <c r="A3" s="3" t="s">
        <v>37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44</v>
      </c>
      <c r="I3" s="3" t="s">
        <v>45</v>
      </c>
      <c r="J3" s="3" t="s">
        <v>46</v>
      </c>
      <c r="K3" s="3" t="s">
        <v>47</v>
      </c>
    </row>
    <row r="4" spans="1:11" x14ac:dyDescent="0.25">
      <c r="A4" s="4" t="s">
        <v>19</v>
      </c>
      <c r="B4" s="14">
        <v>1000</v>
      </c>
      <c r="C4" s="15">
        <f>Premissas!$B$13</f>
        <v>0</v>
      </c>
      <c r="D4" s="16">
        <f>B4*C4</f>
        <v>0</v>
      </c>
      <c r="E4" s="17">
        <f>Premissas!$B$19</f>
        <v>3</v>
      </c>
      <c r="F4" s="36">
        <f>Premissas!$B$8</f>
        <v>0.5</v>
      </c>
      <c r="G4" s="37">
        <f>B4*E4*F4</f>
        <v>1500</v>
      </c>
      <c r="H4" s="16">
        <f>G4*Premissas!$B$4</f>
        <v>225</v>
      </c>
      <c r="I4" s="16">
        <f>B4*Premissas!$B$5</f>
        <v>80</v>
      </c>
      <c r="J4" s="16">
        <f>IF(C4&gt;0,B4*(Premissas!$B$6+C4*Premissas!$B$7),0)</f>
        <v>0</v>
      </c>
      <c r="K4" s="16">
        <f>D4-H4-I4-J4</f>
        <v>-305</v>
      </c>
    </row>
    <row r="5" spans="1:11" x14ac:dyDescent="0.25">
      <c r="A5" s="4" t="s">
        <v>20</v>
      </c>
      <c r="B5" s="14">
        <v>1</v>
      </c>
      <c r="C5" s="15">
        <f>Premissas!$B$14</f>
        <v>19.899999999999999</v>
      </c>
      <c r="D5" s="16">
        <f>B5*C5</f>
        <v>19.899999999999999</v>
      </c>
      <c r="E5" s="17">
        <f>Premissas!$B$20</f>
        <v>20</v>
      </c>
      <c r="F5" s="36">
        <f>Premissas!$B$8</f>
        <v>0.5</v>
      </c>
      <c r="G5" s="37">
        <f>B5*E5*F5</f>
        <v>10</v>
      </c>
      <c r="H5" s="16">
        <f>G5*Premissas!$B$4</f>
        <v>1.5</v>
      </c>
      <c r="I5" s="16">
        <f>B5*Premissas!$B$5</f>
        <v>0.08</v>
      </c>
      <c r="J5" s="16">
        <f>IF(C5&gt;0,B5*(Premissas!$B$6+C5*Premissas!$B$7),0)</f>
        <v>0.88600999999999996</v>
      </c>
      <c r="K5" s="16">
        <f>D5-H5-I5-J5</f>
        <v>17.433990000000001</v>
      </c>
    </row>
    <row r="6" spans="1:11" x14ac:dyDescent="0.25">
      <c r="A6" s="4" t="s">
        <v>24</v>
      </c>
      <c r="B6" s="14">
        <v>1</v>
      </c>
      <c r="C6" s="15">
        <f>Premissas!$B$15</f>
        <v>59.9</v>
      </c>
      <c r="D6" s="16">
        <f>B6*C6</f>
        <v>59.9</v>
      </c>
      <c r="E6" s="17">
        <f>Premissas!$B$21</f>
        <v>40</v>
      </c>
      <c r="F6" s="36">
        <f>Premissas!$B$8</f>
        <v>0.5</v>
      </c>
      <c r="G6" s="37">
        <f>B6*E6*F6</f>
        <v>20</v>
      </c>
      <c r="H6" s="16">
        <f>G6*Premissas!$B$4</f>
        <v>3</v>
      </c>
      <c r="I6" s="16">
        <f>B6*Premissas!$B$5</f>
        <v>0.08</v>
      </c>
      <c r="J6" s="16">
        <f>IF(C6&gt;0,B6*(Premissas!$B$6+C6*Premissas!$B$7),0)</f>
        <v>1.68201</v>
      </c>
      <c r="K6" s="16">
        <f>D6-H6-I6-J6</f>
        <v>55.137990000000002</v>
      </c>
    </row>
    <row r="7" spans="1:11" x14ac:dyDescent="0.25">
      <c r="A7" s="4" t="s">
        <v>22</v>
      </c>
      <c r="B7" s="14">
        <f>B6*5</f>
        <v>5</v>
      </c>
      <c r="C7" s="15">
        <f>Premissas!$B$16</f>
        <v>0</v>
      </c>
      <c r="D7" s="16">
        <f>B7*C7</f>
        <v>0</v>
      </c>
      <c r="E7" s="17">
        <f>Premissas!$B$22</f>
        <v>3</v>
      </c>
      <c r="F7" s="36">
        <f>Premissas!$B$8</f>
        <v>0.5</v>
      </c>
      <c r="G7" s="37">
        <f>B7*E7*F7</f>
        <v>7.5</v>
      </c>
      <c r="H7" s="16">
        <f>G7*Premissas!$B$4</f>
        <v>1.125</v>
      </c>
      <c r="I7" s="16">
        <f>B7*Premissas!$B$5</f>
        <v>0.4</v>
      </c>
      <c r="J7" s="16">
        <f>IF(C7&gt;0,B7*(Premissas!$B$6+C7*Premissas!$B$7),0)</f>
        <v>0</v>
      </c>
      <c r="K7" s="16">
        <f>D7-H7-I7-J7</f>
        <v>-1.5249999999999999</v>
      </c>
    </row>
    <row r="8" spans="1:11" x14ac:dyDescent="0.25">
      <c r="A8" s="11" t="s">
        <v>48</v>
      </c>
      <c r="B8" s="34">
        <f>SUM(B4:B7)</f>
        <v>1007</v>
      </c>
      <c r="C8" s="19"/>
      <c r="D8" s="12">
        <f>SUM(D4:D7)</f>
        <v>79.8</v>
      </c>
      <c r="E8" s="38"/>
      <c r="F8" s="38"/>
      <c r="G8" s="34">
        <f>SUM(G4:G7)</f>
        <v>1537.5</v>
      </c>
      <c r="H8" s="12">
        <f>SUM(H4:H7)</f>
        <v>230.625</v>
      </c>
      <c r="I8" s="12">
        <f>SUM(I4:I7)</f>
        <v>80.56</v>
      </c>
      <c r="J8" s="12">
        <f>SUM(J4:J7)</f>
        <v>2.5680199999999997</v>
      </c>
      <c r="K8" s="12">
        <f>SUM(K4:K7)</f>
        <v>-233.95302000000001</v>
      </c>
    </row>
    <row r="10" spans="1:11" x14ac:dyDescent="0.25">
      <c r="A10" s="9" t="s">
        <v>49</v>
      </c>
    </row>
    <row r="11" spans="1:11" x14ac:dyDescent="0.25">
      <c r="A11" s="20" t="s">
        <v>50</v>
      </c>
      <c r="B11" s="21">
        <f>B8</f>
        <v>1007</v>
      </c>
    </row>
    <row r="12" spans="1:11" x14ac:dyDescent="0.25">
      <c r="A12" s="20" t="s">
        <v>51</v>
      </c>
      <c r="B12" s="22">
        <f>ROUNDUP(B11/Premissas!$B$9,0)</f>
        <v>1</v>
      </c>
    </row>
    <row r="13" spans="1:11" x14ac:dyDescent="0.25">
      <c r="A13" s="20" t="s">
        <v>52</v>
      </c>
      <c r="B13" s="23">
        <f>B12*Premissas!$B$10</f>
        <v>1000</v>
      </c>
    </row>
    <row r="14" spans="1:11" x14ac:dyDescent="0.25">
      <c r="A14" s="20" t="s">
        <v>53</v>
      </c>
      <c r="B14" s="24">
        <f>CustosFixos!$B$7</f>
        <v>50</v>
      </c>
    </row>
    <row r="15" spans="1:11" x14ac:dyDescent="0.25">
      <c r="A15" s="20" t="s">
        <v>54</v>
      </c>
      <c r="B15" s="24">
        <f>(H8+I8+J8)+B13+B14</f>
        <v>1363.7530200000001</v>
      </c>
    </row>
    <row r="16" spans="1:11" x14ac:dyDescent="0.25">
      <c r="A16" s="20" t="s">
        <v>55</v>
      </c>
      <c r="B16" s="24">
        <f>D8</f>
        <v>79.8</v>
      </c>
    </row>
    <row r="17" spans="1:2" x14ac:dyDescent="0.25">
      <c r="A17" s="9" t="s">
        <v>56</v>
      </c>
      <c r="B17" s="25">
        <f>K8-B13-B14</f>
        <v>-1283.9530199999999</v>
      </c>
    </row>
    <row r="19" spans="1:2" x14ac:dyDescent="0.25">
      <c r="A19" s="13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zoomScaleNormal="100" workbookViewId="0">
      <selection activeCell="G4" sqref="G4:G5"/>
    </sheetView>
  </sheetViews>
  <sheetFormatPr defaultColWidth="8.7109375" defaultRowHeight="15" x14ac:dyDescent="0.25"/>
  <cols>
    <col min="1" max="1" width="24" customWidth="1"/>
    <col min="2" max="2" width="13" customWidth="1"/>
    <col min="3" max="3" width="16" customWidth="1"/>
    <col min="4" max="4" width="12" customWidth="1"/>
    <col min="5" max="6" width="13" customWidth="1"/>
    <col min="7" max="7" width="11" customWidth="1"/>
  </cols>
  <sheetData>
    <row r="1" spans="1:7" ht="18" x14ac:dyDescent="0.25">
      <c r="A1" s="2" t="s">
        <v>58</v>
      </c>
    </row>
    <row r="3" spans="1:7" x14ac:dyDescent="0.25">
      <c r="A3" s="3" t="s">
        <v>37</v>
      </c>
      <c r="B3" s="3" t="s">
        <v>39</v>
      </c>
      <c r="C3" s="3" t="s">
        <v>44</v>
      </c>
      <c r="D3" s="3" t="s">
        <v>59</v>
      </c>
      <c r="E3" s="3" t="s">
        <v>60</v>
      </c>
      <c r="F3" s="3" t="s">
        <v>61</v>
      </c>
      <c r="G3" s="3" t="s">
        <v>62</v>
      </c>
    </row>
    <row r="4" spans="1:7" x14ac:dyDescent="0.25">
      <c r="A4" s="4" t="s">
        <v>20</v>
      </c>
      <c r="B4" s="15">
        <f>Premissas!$B$14</f>
        <v>19.899999999999999</v>
      </c>
      <c r="C4" s="16">
        <f>Premissas!$B$20*Premissas!$B$8*Premissas!$B$4</f>
        <v>1.5</v>
      </c>
      <c r="D4" s="16">
        <f>Premissas!$B$5</f>
        <v>0.08</v>
      </c>
      <c r="E4" s="16">
        <f>Premissas!$B$6+B4*Premissas!$B$7</f>
        <v>0.88600999999999996</v>
      </c>
      <c r="F4" s="16">
        <f>B4-C4-D4-E4</f>
        <v>17.433990000000001</v>
      </c>
      <c r="G4" s="26">
        <f>F4/B4</f>
        <v>0.87607989949748755</v>
      </c>
    </row>
    <row r="5" spans="1:7" x14ac:dyDescent="0.25">
      <c r="A5" s="4" t="s">
        <v>63</v>
      </c>
      <c r="B5" s="15">
        <f>Premissas!$B$15</f>
        <v>59.9</v>
      </c>
      <c r="C5" s="16">
        <f>Premissas!$B$21*Premissas!$B$8*Premissas!$B$4+5*Premissas!$B$22*Premissas!$B$8*Premissas!$B$4</f>
        <v>4.125</v>
      </c>
      <c r="D5" s="16">
        <f>6*Premissas!$B$5</f>
        <v>0.48</v>
      </c>
      <c r="E5" s="16">
        <f>Premissas!$B$6+B5*Premissas!$B$7</f>
        <v>1.68201</v>
      </c>
      <c r="F5" s="16">
        <f>B5-C5-D5-E5</f>
        <v>53.612990000000003</v>
      </c>
      <c r="G5" s="26">
        <f>F5/B5</f>
        <v>0.89504156928213696</v>
      </c>
    </row>
    <row r="7" spans="1:7" x14ac:dyDescent="0.25">
      <c r="A7" s="13" t="s"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workbookViewId="0">
      <selection activeCell="C16" sqref="C16"/>
    </sheetView>
  </sheetViews>
  <sheetFormatPr defaultColWidth="8.7109375" defaultRowHeight="15" x14ac:dyDescent="0.25"/>
  <cols>
    <col min="1" max="1" width="46" customWidth="1"/>
    <col min="2" max="2" width="16" customWidth="1"/>
    <col min="3" max="4" width="13" customWidth="1"/>
    <col min="5" max="5" width="14" customWidth="1"/>
    <col min="6" max="8" width="13" customWidth="1"/>
    <col min="9" max="9" width="14" customWidth="1"/>
  </cols>
  <sheetData>
    <row r="1" spans="1:9" ht="18" x14ac:dyDescent="0.25">
      <c r="A1" s="2" t="s">
        <v>65</v>
      </c>
    </row>
    <row r="4" spans="1:9" x14ac:dyDescent="0.25">
      <c r="A4" s="20" t="s">
        <v>66</v>
      </c>
      <c r="B4" s="24">
        <f>Projecao!K8/Projecao!B8</f>
        <v>-0.23232673286991062</v>
      </c>
    </row>
    <row r="5" spans="1:9" x14ac:dyDescent="0.25">
      <c r="A5" s="20" t="s">
        <v>67</v>
      </c>
      <c r="B5" s="24">
        <f>Premissas!$B$10/Premissas!$B$9</f>
        <v>0.5</v>
      </c>
    </row>
    <row r="6" spans="1:9" x14ac:dyDescent="0.25">
      <c r="A6" s="20" t="s">
        <v>68</v>
      </c>
      <c r="B6" s="24">
        <f>B4-B5</f>
        <v>-0.73232673286991057</v>
      </c>
    </row>
    <row r="7" spans="1:9" x14ac:dyDescent="0.25">
      <c r="A7" s="20" t="s">
        <v>69</v>
      </c>
      <c r="B7" s="24">
        <f>CustosFixos!$B$7</f>
        <v>50</v>
      </c>
    </row>
    <row r="8" spans="1:9" x14ac:dyDescent="0.25">
      <c r="A8" s="20" t="s">
        <v>70</v>
      </c>
      <c r="B8" s="24">
        <f>Premissas!$B$10</f>
        <v>1000</v>
      </c>
    </row>
    <row r="9" spans="1:9" x14ac:dyDescent="0.25">
      <c r="A9" s="9" t="s">
        <v>71</v>
      </c>
      <c r="B9" s="27">
        <f>(B7+B8)/B4</f>
        <v>-4519.4971195498993</v>
      </c>
    </row>
    <row r="10" spans="1:9" x14ac:dyDescent="0.25">
      <c r="A10" s="20" t="s">
        <v>72</v>
      </c>
      <c r="B10" s="21">
        <f>B9*(Projecao!B5+Projecao!B6)/Projecao!B8</f>
        <v>-8.9761611113205539</v>
      </c>
    </row>
    <row r="11" spans="1:9" x14ac:dyDescent="0.25">
      <c r="A11" s="9" t="s">
        <v>73</v>
      </c>
      <c r="B11" s="25">
        <f>Projecao!B17</f>
        <v>-1283.9530199999999</v>
      </c>
    </row>
    <row r="14" spans="1:9" x14ac:dyDescent="0.25">
      <c r="A14" s="9" t="s">
        <v>74</v>
      </c>
    </row>
    <row r="15" spans="1:9" x14ac:dyDescent="0.25">
      <c r="A15" s="3" t="s">
        <v>75</v>
      </c>
      <c r="B15" s="3" t="s">
        <v>38</v>
      </c>
      <c r="C15" s="3" t="s">
        <v>76</v>
      </c>
      <c r="D15" s="3" t="s">
        <v>40</v>
      </c>
      <c r="E15" s="3" t="s">
        <v>47</v>
      </c>
      <c r="F15" s="3" t="s">
        <v>77</v>
      </c>
      <c r="G15" s="3" t="s">
        <v>78</v>
      </c>
      <c r="H15" s="3" t="s">
        <v>79</v>
      </c>
      <c r="I15" s="3" t="s">
        <v>80</v>
      </c>
    </row>
    <row r="16" spans="1:9" x14ac:dyDescent="0.25">
      <c r="A16" s="28">
        <v>0.5</v>
      </c>
      <c r="B16" s="18">
        <f>A16*Projecao!$B$8</f>
        <v>503.5</v>
      </c>
      <c r="C16" s="18">
        <f>A16*(Projecao!$B$5+Projecao!$B$6)</f>
        <v>1</v>
      </c>
      <c r="D16" s="16">
        <f>A16*Projecao!$D$8</f>
        <v>39.9</v>
      </c>
      <c r="E16" s="16">
        <f>A16*Projecao!$K$8</f>
        <v>-116.97651</v>
      </c>
      <c r="F16" s="18">
        <f>ROUNDUP(B16/Premissas!$B$9,0)</f>
        <v>1</v>
      </c>
      <c r="G16" s="16">
        <f>F16*Premissas!$B$10</f>
        <v>1000</v>
      </c>
      <c r="H16" s="15">
        <f>CustosFixos!$B$7</f>
        <v>50</v>
      </c>
      <c r="I16" s="16">
        <f t="shared" ref="I16:I21" si="0">E16-G16-H16</f>
        <v>-1166.97651</v>
      </c>
    </row>
    <row r="17" spans="1:9" x14ac:dyDescent="0.25">
      <c r="A17" s="28">
        <v>1</v>
      </c>
      <c r="B17" s="18">
        <f>A17*Projecao!$B$8</f>
        <v>1007</v>
      </c>
      <c r="C17" s="18">
        <f>A17*(Projecao!$B$5+Projecao!$B$6)</f>
        <v>2</v>
      </c>
      <c r="D17" s="16">
        <f>A17*Projecao!$D$8</f>
        <v>79.8</v>
      </c>
      <c r="E17" s="16">
        <f>A17*Projecao!$K$8</f>
        <v>-233.95302000000001</v>
      </c>
      <c r="F17" s="18">
        <f>ROUNDUP(B17/Premissas!$B$9,0)</f>
        <v>1</v>
      </c>
      <c r="G17" s="16">
        <f>F17*Premissas!$B$10</f>
        <v>1000</v>
      </c>
      <c r="H17" s="15">
        <f>CustosFixos!$B$7</f>
        <v>50</v>
      </c>
      <c r="I17" s="16">
        <f t="shared" si="0"/>
        <v>-1283.9530199999999</v>
      </c>
    </row>
    <row r="18" spans="1:9" x14ac:dyDescent="0.25">
      <c r="A18" s="28">
        <v>2</v>
      </c>
      <c r="B18" s="18">
        <f>A18*Projecao!$B$8</f>
        <v>2014</v>
      </c>
      <c r="C18" s="18">
        <f>A18*(Projecao!$B$5+Projecao!$B$6)</f>
        <v>4</v>
      </c>
      <c r="D18" s="16">
        <f>A18*Projecao!$D$8</f>
        <v>159.6</v>
      </c>
      <c r="E18" s="16">
        <f>A18*Projecao!$K$8</f>
        <v>-467.90604000000002</v>
      </c>
      <c r="F18" s="18">
        <f>ROUNDUP(B18/Premissas!$B$9,0)</f>
        <v>2</v>
      </c>
      <c r="G18" s="16">
        <f>F18*Premissas!$B$10</f>
        <v>2000</v>
      </c>
      <c r="H18" s="15">
        <f>CustosFixos!$B$7</f>
        <v>50</v>
      </c>
      <c r="I18" s="16">
        <f t="shared" si="0"/>
        <v>-2517.9060399999998</v>
      </c>
    </row>
    <row r="19" spans="1:9" x14ac:dyDescent="0.25">
      <c r="A19" s="28">
        <v>3</v>
      </c>
      <c r="B19" s="18">
        <f>A19*Projecao!$B$8</f>
        <v>3021</v>
      </c>
      <c r="C19" s="18">
        <f>A19*(Projecao!$B$5+Projecao!$B$6)</f>
        <v>6</v>
      </c>
      <c r="D19" s="16">
        <f>A19*Projecao!$D$8</f>
        <v>239.39999999999998</v>
      </c>
      <c r="E19" s="16">
        <f>A19*Projecao!$K$8</f>
        <v>-701.85906</v>
      </c>
      <c r="F19" s="18">
        <f>ROUNDUP(B19/Premissas!$B$9,0)</f>
        <v>2</v>
      </c>
      <c r="G19" s="16">
        <f>F19*Premissas!$B$10</f>
        <v>2000</v>
      </c>
      <c r="H19" s="15">
        <f>CustosFixos!$B$7</f>
        <v>50</v>
      </c>
      <c r="I19" s="16">
        <f t="shared" si="0"/>
        <v>-2751.8590599999998</v>
      </c>
    </row>
    <row r="20" spans="1:9" x14ac:dyDescent="0.25">
      <c r="A20" s="28">
        <v>5</v>
      </c>
      <c r="B20" s="18">
        <f>A20*Projecao!$B$8</f>
        <v>5035</v>
      </c>
      <c r="C20" s="18">
        <f>A20*(Projecao!$B$5+Projecao!$B$6)</f>
        <v>10</v>
      </c>
      <c r="D20" s="16">
        <f>A20*Projecao!$D$8</f>
        <v>399</v>
      </c>
      <c r="E20" s="16">
        <f>A20*Projecao!$K$8</f>
        <v>-1169.7651000000001</v>
      </c>
      <c r="F20" s="18">
        <f>ROUNDUP(B20/Premissas!$B$9,0)</f>
        <v>3</v>
      </c>
      <c r="G20" s="16">
        <f>F20*Premissas!$B$10</f>
        <v>3000</v>
      </c>
      <c r="H20" s="15">
        <f>CustosFixos!$B$7</f>
        <v>50</v>
      </c>
      <c r="I20" s="16">
        <f t="shared" si="0"/>
        <v>-4219.7651000000005</v>
      </c>
    </row>
    <row r="21" spans="1:9" x14ac:dyDescent="0.25">
      <c r="A21" s="28">
        <v>10</v>
      </c>
      <c r="B21" s="18">
        <f>A21*Projecao!$B$8</f>
        <v>10070</v>
      </c>
      <c r="C21" s="18">
        <f>A21*(Projecao!$B$5+Projecao!$B$6)</f>
        <v>20</v>
      </c>
      <c r="D21" s="16">
        <f>A21*Projecao!$D$8</f>
        <v>798</v>
      </c>
      <c r="E21" s="16">
        <f>A21*Projecao!$K$8</f>
        <v>-2339.5302000000001</v>
      </c>
      <c r="F21" s="18">
        <f>ROUNDUP(B21/Premissas!$B$9,0)</f>
        <v>6</v>
      </c>
      <c r="G21" s="16">
        <f>F21*Premissas!$B$10</f>
        <v>6000</v>
      </c>
      <c r="H21" s="15">
        <f>CustosFixos!$B$7</f>
        <v>50</v>
      </c>
      <c r="I21" s="16">
        <f t="shared" si="0"/>
        <v>-8389.5302000000011</v>
      </c>
    </row>
    <row r="23" spans="1:9" ht="15" customHeight="1" x14ac:dyDescent="0.25">
      <c r="A23" s="1" t="s">
        <v>81</v>
      </c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5">
      <c r="A27" s="1"/>
      <c r="B27" s="1"/>
      <c r="C27" s="1"/>
      <c r="D27" s="1"/>
      <c r="E27" s="1"/>
      <c r="F27" s="1"/>
      <c r="G27" s="1"/>
      <c r="H27" s="1"/>
      <c r="I27" s="1"/>
    </row>
  </sheetData>
  <mergeCells count="1">
    <mergeCell ref="A23:I2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9"/>
  <sheetViews>
    <sheetView zoomScaleNormal="100" workbookViewId="0">
      <selection activeCell="B28" sqref="B28"/>
    </sheetView>
  </sheetViews>
  <sheetFormatPr defaultColWidth="8.7109375" defaultRowHeight="15" x14ac:dyDescent="0.25"/>
  <cols>
    <col min="1" max="1" width="26" customWidth="1"/>
    <col min="2" max="2" width="32" customWidth="1"/>
    <col min="3" max="3" width="36" customWidth="1"/>
  </cols>
  <sheetData>
    <row r="1" spans="1:3" ht="18" x14ac:dyDescent="0.25">
      <c r="A1" s="2" t="s">
        <v>82</v>
      </c>
    </row>
    <row r="3" spans="1:3" x14ac:dyDescent="0.25">
      <c r="A3" s="3"/>
      <c r="B3" s="3" t="s">
        <v>83</v>
      </c>
      <c r="C3" s="3" t="s">
        <v>84</v>
      </c>
    </row>
    <row r="4" spans="1:3" ht="43.5" customHeight="1" x14ac:dyDescent="0.25">
      <c r="A4" s="29" t="s">
        <v>85</v>
      </c>
      <c r="B4" s="30" t="s">
        <v>86</v>
      </c>
      <c r="C4" s="30" t="s">
        <v>87</v>
      </c>
    </row>
    <row r="5" spans="1:3" ht="43.5" customHeight="1" x14ac:dyDescent="0.25">
      <c r="A5" s="31" t="s">
        <v>88</v>
      </c>
      <c r="B5" s="32" t="s">
        <v>89</v>
      </c>
      <c r="C5" s="32" t="s">
        <v>90</v>
      </c>
    </row>
    <row r="6" spans="1:3" ht="43.5" customHeight="1" x14ac:dyDescent="0.25">
      <c r="A6" s="29" t="s">
        <v>91</v>
      </c>
      <c r="B6" s="30" t="s">
        <v>92</v>
      </c>
      <c r="C6" s="30" t="s">
        <v>93</v>
      </c>
    </row>
    <row r="7" spans="1:3" ht="43.5" customHeight="1" x14ac:dyDescent="0.25">
      <c r="A7" s="31" t="s">
        <v>94</v>
      </c>
      <c r="B7" s="32" t="s">
        <v>95</v>
      </c>
      <c r="C7" s="32" t="s">
        <v>96</v>
      </c>
    </row>
    <row r="8" spans="1:3" ht="43.5" customHeight="1" x14ac:dyDescent="0.25">
      <c r="A8" s="29" t="s">
        <v>97</v>
      </c>
      <c r="B8" s="30" t="s">
        <v>98</v>
      </c>
      <c r="C8" s="30" t="s">
        <v>99</v>
      </c>
    </row>
    <row r="9" spans="1:3" ht="43.5" customHeight="1" x14ac:dyDescent="0.25">
      <c r="A9" s="31" t="s">
        <v>100</v>
      </c>
      <c r="B9" s="32" t="s">
        <v>101</v>
      </c>
      <c r="C9" s="32" t="s">
        <v>102</v>
      </c>
    </row>
    <row r="12" spans="1:3" x14ac:dyDescent="0.25">
      <c r="A12" s="9" t="s">
        <v>103</v>
      </c>
    </row>
    <row r="13" spans="1:3" x14ac:dyDescent="0.25">
      <c r="A13" s="3" t="s">
        <v>104</v>
      </c>
      <c r="B13" s="3" t="s">
        <v>105</v>
      </c>
      <c r="C13" s="3" t="s">
        <v>106</v>
      </c>
    </row>
    <row r="14" spans="1:3" x14ac:dyDescent="0.25">
      <c r="A14" s="33">
        <v>4</v>
      </c>
      <c r="B14" s="16">
        <f>A14*16.9</f>
        <v>67.599999999999994</v>
      </c>
      <c r="C14" s="15">
        <f>Premissas!$B$15</f>
        <v>59.9</v>
      </c>
    </row>
    <row r="15" spans="1:3" x14ac:dyDescent="0.25">
      <c r="A15" s="33">
        <v>6</v>
      </c>
      <c r="B15" s="16">
        <f>A15*16.9</f>
        <v>101.39999999999999</v>
      </c>
      <c r="C15" s="15">
        <f>Premissas!$B$15</f>
        <v>59.9</v>
      </c>
    </row>
    <row r="16" spans="1:3" x14ac:dyDescent="0.25">
      <c r="A16" s="33">
        <v>8</v>
      </c>
      <c r="B16" s="16">
        <f>A16*16.9</f>
        <v>135.19999999999999</v>
      </c>
      <c r="C16" s="15">
        <f>Premissas!$B$15</f>
        <v>59.9</v>
      </c>
    </row>
    <row r="17" spans="1:3" x14ac:dyDescent="0.25">
      <c r="A17" s="33">
        <v>12</v>
      </c>
      <c r="B17" s="16">
        <f>A17*16.9</f>
        <v>202.79999999999998</v>
      </c>
      <c r="C17" s="15">
        <f>Premissas!$B$15</f>
        <v>59.9</v>
      </c>
    </row>
    <row r="19" spans="1:3" x14ac:dyDescent="0.25">
      <c r="A19" s="13" t="s">
        <v>107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Premissas</vt:lpstr>
      <vt:lpstr>CustosFixos</vt:lpstr>
      <vt:lpstr>Projecao</vt:lpstr>
      <vt:lpstr>UnitEconomics</vt:lpstr>
      <vt:lpstr>PontoEquilibrio</vt:lpstr>
      <vt:lpstr>Comparativo_Moises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Luiz Paulo Cruz</cp:lastModifiedBy>
  <cp:revision>0</cp:revision>
  <dcterms:created xsi:type="dcterms:W3CDTF">2026-07-17T10:46:12Z</dcterms:created>
  <dcterms:modified xsi:type="dcterms:W3CDTF">2026-07-17T16:08:46Z</dcterms:modified>
  <dc:language>en-US</dc:language>
</cp:coreProperties>
</file>